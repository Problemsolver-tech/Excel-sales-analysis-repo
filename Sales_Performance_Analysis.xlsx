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14380" windowHeight="4040" activeTab="4"/>
  </bookViews>
  <sheets>
    <sheet name="Sheet1" sheetId="1" r:id="rId1"/>
    <sheet name="Sheet2" sheetId="2" r:id="rId2"/>
    <sheet name="Sheet3" sheetId="3" r:id="rId3"/>
    <sheet name="Sheet4" sheetId="4" r:id="rId4"/>
    <sheet name="SALES DASHBOARD" sheetId="5" r:id="rId5"/>
  </sheets>
  <definedNames>
    <definedName name="Slicer_Product">#N/A</definedName>
    <definedName name="Slicer_Region">#N/A</definedName>
    <definedName name="Slicer_Sales">#N/A</definedName>
  </definedNames>
  <calcPr calcId="152511"/>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1" l="1"/>
  <c r="D13" i="1"/>
  <c r="E13" i="1"/>
  <c r="F12" i="4"/>
  <c r="F11" i="4"/>
  <c r="F10" i="4"/>
  <c r="F9" i="4"/>
  <c r="F8" i="4"/>
  <c r="F7" i="4"/>
  <c r="F6" i="4"/>
  <c r="F5" i="4"/>
  <c r="F4" i="4"/>
  <c r="F3" i="4"/>
  <c r="F13" i="3"/>
  <c r="F12" i="3"/>
  <c r="F11" i="3"/>
  <c r="F10" i="3"/>
  <c r="F9" i="3"/>
  <c r="F8" i="3"/>
  <c r="F7" i="3"/>
  <c r="F6" i="3"/>
  <c r="F5" i="3"/>
  <c r="F4" i="3"/>
  <c r="G13" i="2"/>
  <c r="F13" i="2"/>
  <c r="G12" i="2"/>
  <c r="F12" i="2"/>
  <c r="G11" i="2"/>
  <c r="F11" i="2"/>
  <c r="G10" i="2"/>
  <c r="F10" i="2"/>
  <c r="G9" i="2"/>
  <c r="F9" i="2"/>
  <c r="G8" i="2"/>
  <c r="F8" i="2"/>
  <c r="G7" i="2"/>
  <c r="F7" i="2"/>
  <c r="G6" i="2"/>
  <c r="F6" i="2"/>
  <c r="G5" i="2"/>
  <c r="F5" i="2"/>
  <c r="G4" i="2"/>
  <c r="F4" i="2"/>
  <c r="D20" i="1" l="1"/>
  <c r="D19" i="1"/>
  <c r="D18" i="1"/>
  <c r="D16" i="1"/>
  <c r="G5" i="1"/>
  <c r="G9" i="1"/>
  <c r="G3" i="1"/>
  <c r="F4" i="1"/>
  <c r="G4" i="1" s="1"/>
  <c r="F5" i="1"/>
  <c r="F6" i="1"/>
  <c r="G6" i="1" s="1"/>
  <c r="F7" i="1"/>
  <c r="G7" i="1" s="1"/>
  <c r="F8" i="1"/>
  <c r="G8" i="1" s="1"/>
  <c r="F9" i="1"/>
  <c r="F10" i="1"/>
  <c r="G10" i="1" s="1"/>
  <c r="F11" i="1"/>
  <c r="G11" i="1" s="1"/>
  <c r="F12" i="1"/>
  <c r="G12" i="1" s="1"/>
  <c r="F3" i="1"/>
  <c r="F13" i="1" l="1"/>
  <c r="G13" i="1" s="1"/>
  <c r="D15" i="1"/>
  <c r="D23" i="1"/>
  <c r="D22" i="1"/>
  <c r="D21" i="1"/>
</calcChain>
</file>

<file path=xl/sharedStrings.xml><?xml version="1.0" encoding="utf-8"?>
<sst xmlns="http://schemas.openxmlformats.org/spreadsheetml/2006/main" count="146" uniqueCount="33">
  <si>
    <t>Date</t>
  </si>
  <si>
    <t>Product</t>
  </si>
  <si>
    <t>Region</t>
  </si>
  <si>
    <t>Sales</t>
  </si>
  <si>
    <t>Quantity</t>
  </si>
  <si>
    <t>Shoes</t>
  </si>
  <si>
    <t>Lagos</t>
  </si>
  <si>
    <t>Bag</t>
  </si>
  <si>
    <t>Watch</t>
  </si>
  <si>
    <t>Abuja</t>
  </si>
  <si>
    <t>Port-Harcourt</t>
  </si>
  <si>
    <t>Total Revenue</t>
  </si>
  <si>
    <t>Performance</t>
  </si>
  <si>
    <t>AVERAGE SALES IS</t>
  </si>
  <si>
    <t>PORT-HARCOURT TOTAL SALES IS</t>
  </si>
  <si>
    <t>PORT-HARCOURT TOTAL REVENUE IS</t>
  </si>
  <si>
    <t>Row Labels</t>
  </si>
  <si>
    <t>Grand Total</t>
  </si>
  <si>
    <t>Total Sales</t>
  </si>
  <si>
    <t>SALES BY PRODUCT</t>
  </si>
  <si>
    <t>SALES BY REGION</t>
  </si>
  <si>
    <t>SALES TREND</t>
  </si>
  <si>
    <t>TOTAL NUMBER OF TRANSACTION</t>
  </si>
  <si>
    <t>The above chart shows shoes generate the highest sales and revenue</t>
  </si>
  <si>
    <t xml:space="preserve">The above chart shows Lagos is the top performing region </t>
  </si>
  <si>
    <t>The above chart shows sales are increasing….</t>
  </si>
  <si>
    <t>SALES PERFORMANCE ANALYSIS</t>
  </si>
  <si>
    <t>TOTAL REVENUE GENERATED IS</t>
  </si>
  <si>
    <t>LAGOS REGION TOTAL SALES IS</t>
  </si>
  <si>
    <t>ABUJA REGION TOTAL SALES IS</t>
  </si>
  <si>
    <t xml:space="preserve">LAGOS REGION TOTAL REVENUE IS </t>
  </si>
  <si>
    <t>ABUJA REGION TOTAL REVENUE IS</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</si>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</sst>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6"/>
      <color rgb="FFFF0000"/>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 fontId="0" fillId="0" borderId="0" xfId="0" applyNumberFormat="1" applyAlignment="1">
      <alignment horizontal="left"/>
    </xf>
    <xf numFmtId="0" fontId="0" fillId="0" borderId="0" xfId="0" applyAlignment="1">
      <alignment horizontal="left"/>
    </xf>
    <xf numFmtId="0" fontId="0" fillId="0" borderId="0" xfId="0" pivotButton="1"/>
    <xf numFmtId="0" fontId="0" fillId="0" borderId="0" xfId="0" applyNumberFormat="1"/>
    <xf numFmtId="0" fontId="0" fillId="0" borderId="0" xfId="0" applyAlignment="1"/>
    <xf numFmtId="0" fontId="1" fillId="0" borderId="0" xfId="0" applyFont="1"/>
    <xf numFmtId="0" fontId="1" fillId="0" borderId="0" xfId="0" applyFont="1"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[Sales_Performance_Analysis.xlsx]Sheet2!PivotTable2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Sheet2!$K$2</c:f>
              <c:strCache>
                <c:ptCount val="1"/>
                <c:pt idx="0">
                  <c:v>Total</c:v>
                </c:pt>
              </c:strCache>
            </c:strRef>
          </c:tx>
          <c:spPr>
            <a:solidFill>
              <a:schemeClr val="accent1"/>
            </a:solidFill>
            <a:ln>
              <a:noFill/>
            </a:ln>
            <a:effectLst/>
            <a:sp3d/>
          </c:spPr>
          <c:invertIfNegative val="0"/>
          <c:cat>
            <c:strRef>
              <c:f>Sheet2!$J$3:$J$6</c:f>
              <c:strCache>
                <c:ptCount val="3"/>
                <c:pt idx="0">
                  <c:v>Abuja</c:v>
                </c:pt>
                <c:pt idx="1">
                  <c:v>Lagos</c:v>
                </c:pt>
                <c:pt idx="2">
                  <c:v>Port-Harcourt</c:v>
                </c:pt>
              </c:strCache>
            </c:strRef>
          </c:cat>
          <c:val>
            <c:numRef>
              <c:f>Sheet2!$K$3:$K$6</c:f>
              <c:numCache>
                <c:formatCode>General</c:formatCode>
                <c:ptCount val="3"/>
                <c:pt idx="0">
                  <c:v>430</c:v>
                </c:pt>
                <c:pt idx="1">
                  <c:v>1240</c:v>
                </c:pt>
                <c:pt idx="2">
                  <c:v>530</c:v>
                </c:pt>
              </c:numCache>
            </c:numRef>
          </c:val>
        </c:ser>
        <c:dLbls>
          <c:showLegendKey val="0"/>
          <c:showVal val="0"/>
          <c:showCatName val="0"/>
          <c:showSerName val="0"/>
          <c:showPercent val="0"/>
          <c:showBubbleSize val="0"/>
        </c:dLbls>
        <c:gapWidth val="150"/>
        <c:shape val="box"/>
        <c:axId val="227912608"/>
        <c:axId val="227912992"/>
        <c:axId val="0"/>
      </c:bar3DChart>
      <c:catAx>
        <c:axId val="227912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12992"/>
        <c:crosses val="autoZero"/>
        <c:auto val="1"/>
        <c:lblAlgn val="ctr"/>
        <c:lblOffset val="100"/>
        <c:noMultiLvlLbl val="0"/>
      </c:catAx>
      <c:valAx>
        <c:axId val="22791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1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[Sales_Performance_Analysis.xlsx]Sheet3!PivotTable3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Sheet3!$K$2</c:f>
              <c:strCache>
                <c:ptCount val="1"/>
                <c:pt idx="0">
                  <c:v>Total</c:v>
                </c:pt>
              </c:strCache>
            </c:strRef>
          </c:tx>
          <c:spPr>
            <a:solidFill>
              <a:schemeClr val="accent1"/>
            </a:solidFill>
            <a:ln>
              <a:noFill/>
            </a:ln>
            <a:effectLst/>
            <a:sp3d/>
          </c:spPr>
          <c:invertIfNegative val="0"/>
          <c:cat>
            <c:strRef>
              <c:f>Sheet3!$J$3:$J$6</c:f>
              <c:strCache>
                <c:ptCount val="3"/>
                <c:pt idx="0">
                  <c:v>Bag</c:v>
                </c:pt>
                <c:pt idx="1">
                  <c:v>Shoes</c:v>
                </c:pt>
                <c:pt idx="2">
                  <c:v>Watch</c:v>
                </c:pt>
              </c:strCache>
            </c:strRef>
          </c:cat>
          <c:val>
            <c:numRef>
              <c:f>Sheet3!$K$3:$K$6</c:f>
              <c:numCache>
                <c:formatCode>General</c:formatCode>
                <c:ptCount val="3"/>
                <c:pt idx="0">
                  <c:v>380</c:v>
                </c:pt>
                <c:pt idx="1">
                  <c:v>1120</c:v>
                </c:pt>
                <c:pt idx="2">
                  <c:v>700</c:v>
                </c:pt>
              </c:numCache>
            </c:numRef>
          </c:val>
        </c:ser>
        <c:dLbls>
          <c:showLegendKey val="0"/>
          <c:showVal val="0"/>
          <c:showCatName val="0"/>
          <c:showSerName val="0"/>
          <c:showPercent val="0"/>
          <c:showBubbleSize val="0"/>
        </c:dLbls>
        <c:gapWidth val="150"/>
        <c:shape val="box"/>
        <c:axId val="228242408"/>
        <c:axId val="228107360"/>
        <c:axId val="0"/>
      </c:bar3DChart>
      <c:catAx>
        <c:axId val="228242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07360"/>
        <c:crosses val="autoZero"/>
        <c:auto val="1"/>
        <c:lblAlgn val="ctr"/>
        <c:lblOffset val="100"/>
        <c:noMultiLvlLbl val="0"/>
      </c:catAx>
      <c:valAx>
        <c:axId val="22810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42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[Sales_Performance_Analysis.xlsx]Sheet4!PivotTable4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Sheet4!$K$2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Sheet4!$J$3:$J$13</c:f>
              <c:strCache>
                <c:ptCount val="10"/>
                <c:pt idx="0">
                  <c:v>01-Jan</c:v>
                </c:pt>
                <c:pt idx="1">
                  <c:v>02-Jan</c:v>
                </c:pt>
                <c:pt idx="2">
                  <c:v>03-Jan</c:v>
                </c:pt>
                <c:pt idx="3">
                  <c:v>04-Jan</c:v>
                </c:pt>
                <c:pt idx="4">
                  <c:v>05-Jan</c:v>
                </c:pt>
                <c:pt idx="5">
                  <c:v>06-Jan</c:v>
                </c:pt>
                <c:pt idx="6">
                  <c:v>07-Jan</c:v>
                </c:pt>
                <c:pt idx="7">
                  <c:v>08-Jan</c:v>
                </c:pt>
                <c:pt idx="8">
                  <c:v>09-Jan</c:v>
                </c:pt>
                <c:pt idx="9">
                  <c:v>10-Jan</c:v>
                </c:pt>
              </c:strCache>
            </c:strRef>
          </c:cat>
          <c:val>
            <c:numRef>
              <c:f>Sheet4!$K$3:$K$13</c:f>
              <c:numCache>
                <c:formatCode>General</c:formatCode>
                <c:ptCount val="10"/>
                <c:pt idx="0">
                  <c:v>200</c:v>
                </c:pt>
                <c:pt idx="1">
                  <c:v>150</c:v>
                </c:pt>
                <c:pt idx="2">
                  <c:v>300</c:v>
                </c:pt>
                <c:pt idx="3">
                  <c:v>250</c:v>
                </c:pt>
                <c:pt idx="4">
                  <c:v>100</c:v>
                </c:pt>
                <c:pt idx="5">
                  <c:v>400</c:v>
                </c:pt>
                <c:pt idx="6">
                  <c:v>180</c:v>
                </c:pt>
                <c:pt idx="7">
                  <c:v>220</c:v>
                </c:pt>
                <c:pt idx="8">
                  <c:v>130</c:v>
                </c:pt>
                <c:pt idx="9">
                  <c:v>270</c:v>
                </c:pt>
              </c:numCache>
            </c:numRef>
          </c:val>
          <c:smooth val="0"/>
        </c:ser>
        <c:dLbls>
          <c:showLegendKey val="0"/>
          <c:showVal val="0"/>
          <c:showCatName val="0"/>
          <c:showSerName val="0"/>
          <c:showPercent val="0"/>
          <c:showBubbleSize val="0"/>
        </c:dLbls>
        <c:marker val="1"/>
        <c:smooth val="0"/>
        <c:axId val="226797368"/>
        <c:axId val="226797752"/>
      </c:lineChart>
      <c:catAx>
        <c:axId val="22679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797752"/>
        <c:crosses val="autoZero"/>
        <c:auto val="1"/>
        <c:lblAlgn val="ctr"/>
        <c:lblOffset val="100"/>
        <c:noMultiLvlLbl val="0"/>
      </c:catAx>
      <c:valAx>
        <c:axId val="226797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797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[Sales_Performance_Analysis.xlsx]Sheet2!PivotTable2</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Sheet2!$K$2</c:f>
              <c:strCache>
                <c:ptCount val="1"/>
                <c:pt idx="0">
                  <c:v>Total</c:v>
                </c:pt>
              </c:strCache>
            </c:strRef>
          </c:tx>
          <c:spPr>
            <a:solidFill>
              <a:schemeClr val="accent1"/>
            </a:solidFill>
            <a:ln>
              <a:noFill/>
            </a:ln>
            <a:effectLst/>
            <a:sp3d/>
          </c:spPr>
          <c:invertIfNegative val="0"/>
          <c:cat>
            <c:strRef>
              <c:f>Sheet2!$J$3:$J$6</c:f>
              <c:strCache>
                <c:ptCount val="3"/>
                <c:pt idx="0">
                  <c:v>Abuja</c:v>
                </c:pt>
                <c:pt idx="1">
                  <c:v>Lagos</c:v>
                </c:pt>
                <c:pt idx="2">
                  <c:v>Port-Harcourt</c:v>
                </c:pt>
              </c:strCache>
            </c:strRef>
          </c:cat>
          <c:val>
            <c:numRef>
              <c:f>Sheet2!$K$3:$K$6</c:f>
              <c:numCache>
                <c:formatCode>General</c:formatCode>
                <c:ptCount val="3"/>
                <c:pt idx="0">
                  <c:v>430</c:v>
                </c:pt>
                <c:pt idx="1">
                  <c:v>1240</c:v>
                </c:pt>
                <c:pt idx="2">
                  <c:v>530</c:v>
                </c:pt>
              </c:numCache>
            </c:numRef>
          </c:val>
        </c:ser>
        <c:dLbls>
          <c:showLegendKey val="0"/>
          <c:showVal val="0"/>
          <c:showCatName val="0"/>
          <c:showSerName val="0"/>
          <c:showPercent val="0"/>
          <c:showBubbleSize val="0"/>
        </c:dLbls>
        <c:gapWidth val="150"/>
        <c:shape val="box"/>
        <c:axId val="229196944"/>
        <c:axId val="229197328"/>
        <c:axId val="0"/>
      </c:bar3DChart>
      <c:catAx>
        <c:axId val="22919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97328"/>
        <c:crosses val="autoZero"/>
        <c:auto val="1"/>
        <c:lblAlgn val="ctr"/>
        <c:lblOffset val="100"/>
        <c:noMultiLvlLbl val="0"/>
      </c:catAx>
      <c:valAx>
        <c:axId val="22919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96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[Sales_Performance_Analysis.xlsx]Sheet4!PivotTable4</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Sheet4!$K$2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Sheet4!$J$3:$J$13</c:f>
              <c:strCache>
                <c:ptCount val="10"/>
                <c:pt idx="0">
                  <c:v>01-Jan</c:v>
                </c:pt>
                <c:pt idx="1">
                  <c:v>02-Jan</c:v>
                </c:pt>
                <c:pt idx="2">
                  <c:v>03-Jan</c:v>
                </c:pt>
                <c:pt idx="3">
                  <c:v>04-Jan</c:v>
                </c:pt>
                <c:pt idx="4">
                  <c:v>05-Jan</c:v>
                </c:pt>
                <c:pt idx="5">
                  <c:v>06-Jan</c:v>
                </c:pt>
                <c:pt idx="6">
                  <c:v>07-Jan</c:v>
                </c:pt>
                <c:pt idx="7">
                  <c:v>08-Jan</c:v>
                </c:pt>
                <c:pt idx="8">
                  <c:v>09-Jan</c:v>
                </c:pt>
                <c:pt idx="9">
                  <c:v>10-Jan</c:v>
                </c:pt>
              </c:strCache>
            </c:strRef>
          </c:cat>
          <c:val>
            <c:numRef>
              <c:f>Sheet4!$K$3:$K$13</c:f>
              <c:numCache>
                <c:formatCode>General</c:formatCode>
                <c:ptCount val="10"/>
                <c:pt idx="0">
                  <c:v>200</c:v>
                </c:pt>
                <c:pt idx="1">
                  <c:v>150</c:v>
                </c:pt>
                <c:pt idx="2">
                  <c:v>300</c:v>
                </c:pt>
                <c:pt idx="3">
                  <c:v>250</c:v>
                </c:pt>
                <c:pt idx="4">
                  <c:v>100</c:v>
                </c:pt>
                <c:pt idx="5">
                  <c:v>400</c:v>
                </c:pt>
                <c:pt idx="6">
                  <c:v>180</c:v>
                </c:pt>
                <c:pt idx="7">
                  <c:v>220</c:v>
                </c:pt>
                <c:pt idx="8">
                  <c:v>130</c:v>
                </c:pt>
                <c:pt idx="9">
                  <c:v>270</c:v>
                </c:pt>
              </c:numCache>
            </c:numRef>
          </c:val>
          <c:smooth val="0"/>
        </c:ser>
        <c:dLbls>
          <c:showLegendKey val="0"/>
          <c:showVal val="0"/>
          <c:showCatName val="0"/>
          <c:showSerName val="0"/>
          <c:showPercent val="0"/>
          <c:showBubbleSize val="0"/>
        </c:dLbls>
        <c:marker val="1"/>
        <c:smooth val="0"/>
        <c:axId val="229341544"/>
        <c:axId val="229341928"/>
      </c:lineChart>
      <c:catAx>
        <c:axId val="22934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341928"/>
        <c:crosses val="autoZero"/>
        <c:auto val="1"/>
        <c:lblAlgn val="ctr"/>
        <c:lblOffset val="100"/>
        <c:noMultiLvlLbl val="0"/>
      </c:catAx>
      <c:valAx>
        <c:axId val="229341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341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[Sales_Performance_Analysis.xlsx]Sheet3!PivotTable3</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Sheet3!$K$2</c:f>
              <c:strCache>
                <c:ptCount val="1"/>
                <c:pt idx="0">
                  <c:v>Total</c:v>
                </c:pt>
              </c:strCache>
            </c:strRef>
          </c:tx>
          <c:spPr>
            <a:solidFill>
              <a:schemeClr val="accent1"/>
            </a:solidFill>
            <a:ln>
              <a:noFill/>
            </a:ln>
            <a:effectLst/>
            <a:sp3d/>
          </c:spPr>
          <c:invertIfNegative val="0"/>
          <c:cat>
            <c:strRef>
              <c:f>Sheet3!$J$3:$J$6</c:f>
              <c:strCache>
                <c:ptCount val="3"/>
                <c:pt idx="0">
                  <c:v>Bag</c:v>
                </c:pt>
                <c:pt idx="1">
                  <c:v>Shoes</c:v>
                </c:pt>
                <c:pt idx="2">
                  <c:v>Watch</c:v>
                </c:pt>
              </c:strCache>
            </c:strRef>
          </c:cat>
          <c:val>
            <c:numRef>
              <c:f>Sheet3!$K$3:$K$6</c:f>
              <c:numCache>
                <c:formatCode>General</c:formatCode>
                <c:ptCount val="3"/>
                <c:pt idx="0">
                  <c:v>380</c:v>
                </c:pt>
                <c:pt idx="1">
                  <c:v>1120</c:v>
                </c:pt>
                <c:pt idx="2">
                  <c:v>700</c:v>
                </c:pt>
              </c:numCache>
            </c:numRef>
          </c:val>
        </c:ser>
        <c:dLbls>
          <c:showLegendKey val="0"/>
          <c:showVal val="0"/>
          <c:showCatName val="0"/>
          <c:showSerName val="0"/>
          <c:showPercent val="0"/>
          <c:showBubbleSize val="0"/>
        </c:dLbls>
        <c:gapWidth val="150"/>
        <c:shape val="box"/>
        <c:axId val="229308864"/>
        <c:axId val="229306512"/>
        <c:axId val="0"/>
      </c:bar3DChart>
      <c:catAx>
        <c:axId val="22930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306512"/>
        <c:crosses val="autoZero"/>
        <c:auto val="1"/>
        <c:lblAlgn val="ctr"/>
        <c:lblOffset val="100"/>
        <c:noMultiLvlLbl val="0"/>
      </c:catAx>
      <c:valAx>
        <c:axId val="22930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308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568325</xdr:colOff>
      <xdr:row>13</xdr:row>
      <xdr:rowOff>38100</xdr:rowOff>
    </xdr:from>
    <xdr:to>
      <xdr:col>13</xdr:col>
      <xdr:colOff>441325</xdr:colOff>
      <xdr:row>28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11</xdr:row>
      <xdr:rowOff>6350</xdr:rowOff>
    </xdr:from>
    <xdr:to>
      <xdr:col>13</xdr:col>
      <xdr:colOff>263525</xdr:colOff>
      <xdr:row>25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593725</xdr:colOff>
      <xdr:row>15</xdr:row>
      <xdr:rowOff>44450</xdr:rowOff>
    </xdr:from>
    <xdr:to>
      <xdr:col>11</xdr:col>
      <xdr:colOff>466725</xdr:colOff>
      <xdr:row>30</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xdr:colOff>
      <xdr:row>2</xdr:row>
      <xdr:rowOff>25400</xdr:rowOff>
    </xdr:from>
    <xdr:to>
      <xdr:col>5</xdr:col>
      <xdr:colOff>12700</xdr:colOff>
      <xdr:row>4</xdr:row>
      <xdr:rowOff>165100</xdr:rowOff>
    </xdr:to>
    <xdr:sp macro="" textlink="">
      <xdr:nvSpPr>
        <xdr:cNvPr id="2" name="Rectangle 1"/>
        <xdr:cNvSpPr/>
      </xdr:nvSpPr>
      <xdr:spPr>
        <a:xfrm>
          <a:off x="1841500" y="393700"/>
          <a:ext cx="1219200" cy="508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TOTAL REVENUE</a:t>
          </a:r>
        </a:p>
        <a:p>
          <a:pPr algn="l"/>
          <a:r>
            <a:rPr lang="en-GB" sz="1100"/>
            <a:t>           5390</a:t>
          </a:r>
        </a:p>
      </xdr:txBody>
    </xdr:sp>
    <xdr:clientData/>
  </xdr:twoCellAnchor>
  <xdr:twoCellAnchor>
    <xdr:from>
      <xdr:col>5</xdr:col>
      <xdr:colOff>603250</xdr:colOff>
      <xdr:row>2</xdr:row>
      <xdr:rowOff>6350</xdr:rowOff>
    </xdr:from>
    <xdr:to>
      <xdr:col>7</xdr:col>
      <xdr:colOff>590550</xdr:colOff>
      <xdr:row>5</xdr:row>
      <xdr:rowOff>12700</xdr:rowOff>
    </xdr:to>
    <xdr:sp macro="" textlink="">
      <xdr:nvSpPr>
        <xdr:cNvPr id="3" name="Rectangle 2"/>
        <xdr:cNvSpPr/>
      </xdr:nvSpPr>
      <xdr:spPr>
        <a:xfrm>
          <a:off x="3651250" y="374650"/>
          <a:ext cx="1206500" cy="558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TOTAL QUANTITY</a:t>
          </a:r>
        </a:p>
        <a:p>
          <a:pPr algn="l"/>
          <a:r>
            <a:rPr lang="en-GB" sz="1100"/>
            <a:t>             21</a:t>
          </a:r>
        </a:p>
      </xdr:txBody>
    </xdr:sp>
    <xdr:clientData/>
  </xdr:twoCellAnchor>
  <xdr:twoCellAnchor>
    <xdr:from>
      <xdr:col>8</xdr:col>
      <xdr:colOff>603250</xdr:colOff>
      <xdr:row>1</xdr:row>
      <xdr:rowOff>177800</xdr:rowOff>
    </xdr:from>
    <xdr:to>
      <xdr:col>10</xdr:col>
      <xdr:colOff>596900</xdr:colOff>
      <xdr:row>5</xdr:row>
      <xdr:rowOff>25400</xdr:rowOff>
    </xdr:to>
    <xdr:sp macro="" textlink="">
      <xdr:nvSpPr>
        <xdr:cNvPr id="4" name="Rectangle 3"/>
        <xdr:cNvSpPr/>
      </xdr:nvSpPr>
      <xdr:spPr>
        <a:xfrm>
          <a:off x="5480050" y="361950"/>
          <a:ext cx="1212850" cy="584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AVERAGE SALES</a:t>
          </a:r>
        </a:p>
        <a:p>
          <a:pPr algn="l"/>
          <a:r>
            <a:rPr lang="en-GB" sz="1100"/>
            <a:t>             220</a:t>
          </a:r>
        </a:p>
      </xdr:txBody>
    </xdr:sp>
    <xdr:clientData/>
  </xdr:twoCellAnchor>
  <xdr:twoCellAnchor>
    <xdr:from>
      <xdr:col>12</xdr:col>
      <xdr:colOff>0</xdr:colOff>
      <xdr:row>1</xdr:row>
      <xdr:rowOff>139700</xdr:rowOff>
    </xdr:from>
    <xdr:to>
      <xdr:col>13</xdr:col>
      <xdr:colOff>603250</xdr:colOff>
      <xdr:row>5</xdr:row>
      <xdr:rowOff>12700</xdr:rowOff>
    </xdr:to>
    <xdr:sp macro="" textlink="">
      <xdr:nvSpPr>
        <xdr:cNvPr id="5" name="Rectangle 4"/>
        <xdr:cNvSpPr/>
      </xdr:nvSpPr>
      <xdr:spPr>
        <a:xfrm>
          <a:off x="7315200" y="406400"/>
          <a:ext cx="1212850" cy="609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TOP REGION</a:t>
          </a:r>
        </a:p>
        <a:p>
          <a:pPr algn="l"/>
          <a:r>
            <a:rPr lang="en-GB" sz="1100"/>
            <a:t>          LAGOS</a:t>
          </a:r>
        </a:p>
        <a:p>
          <a:pPr algn="l"/>
          <a:r>
            <a:rPr lang="en-GB" sz="1100"/>
            <a:t>             56%</a:t>
          </a:r>
        </a:p>
        <a:p>
          <a:pPr algn="l"/>
          <a:endParaRPr lang="en-GB" sz="1100"/>
        </a:p>
      </xdr:txBody>
    </xdr:sp>
    <xdr:clientData/>
  </xdr:twoCellAnchor>
  <xdr:twoCellAnchor>
    <xdr:from>
      <xdr:col>15</xdr:col>
      <xdr:colOff>12700</xdr:colOff>
      <xdr:row>1</xdr:row>
      <xdr:rowOff>146050</xdr:rowOff>
    </xdr:from>
    <xdr:to>
      <xdr:col>17</xdr:col>
      <xdr:colOff>203200</xdr:colOff>
      <xdr:row>5</xdr:row>
      <xdr:rowOff>0</xdr:rowOff>
    </xdr:to>
    <xdr:sp macro="" textlink="">
      <xdr:nvSpPr>
        <xdr:cNvPr id="6" name="Rectangle 5"/>
        <xdr:cNvSpPr/>
      </xdr:nvSpPr>
      <xdr:spPr>
        <a:xfrm>
          <a:off x="9156700" y="412750"/>
          <a:ext cx="1409700" cy="590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TOTAL TRANSACTION</a:t>
          </a:r>
        </a:p>
        <a:p>
          <a:pPr algn="l"/>
          <a:r>
            <a:rPr lang="en-GB" sz="1100"/>
            <a:t>                10</a:t>
          </a:r>
        </a:p>
      </xdr:txBody>
    </xdr:sp>
    <xdr:clientData/>
  </xdr:twoCellAnchor>
  <xdr:twoCellAnchor>
    <xdr:from>
      <xdr:col>11</xdr:col>
      <xdr:colOff>0</xdr:colOff>
      <xdr:row>10</xdr:row>
      <xdr:rowOff>0</xdr:rowOff>
    </xdr:from>
    <xdr:to>
      <xdr:col>18</xdr:col>
      <xdr:colOff>304800</xdr:colOff>
      <xdr:row>25</xdr:row>
      <xdr:rowOff>177800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31</xdr:row>
      <xdr:rowOff>0</xdr:rowOff>
    </xdr:from>
    <xdr:to>
      <xdr:col>14</xdr:col>
      <xdr:colOff>304800</xdr:colOff>
      <xdr:row>45</xdr:row>
      <xdr:rowOff>165100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1</xdr:rowOff>
    </xdr:from>
    <xdr:to>
      <xdr:col>2</xdr:col>
      <xdr:colOff>469900</xdr:colOff>
      <xdr:row>9</xdr:row>
      <xdr:rowOff>107950</xdr:rowOff>
    </xdr:to>
    <mc:AlternateContent xmlns:mc="http://schemas.openxmlformats.org/markup-compatibility/2006" xmlns:a14="http://schemas.microsoft.com/office/drawing/2010/main">
      <mc:Choice Requires="a14">
        <xdr:graphicFrame macro="">
          <xdr:nvGraphicFramePr>
            <xdr:cNvPr id="10" name="Sales 1"/>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0" y="368301"/>
              <a:ext cx="1689100" cy="1396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xdr:colOff>
      <xdr:row>2</xdr:row>
      <xdr:rowOff>1</xdr:rowOff>
    </xdr:from>
    <xdr:to>
      <xdr:col>21</xdr:col>
      <xdr:colOff>0</xdr:colOff>
      <xdr:row>8</xdr:row>
      <xdr:rowOff>127001</xdr:rowOff>
    </xdr:to>
    <mc:AlternateContent xmlns:mc="http://schemas.openxmlformats.org/markup-compatibility/2006" xmlns:a14="http://schemas.microsoft.com/office/drawing/2010/main">
      <mc:Choice Requires="a14">
        <xdr:graphicFrame macro="">
          <xdr:nvGraphicFramePr>
            <xdr:cNvPr id="1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91850" y="368301"/>
              <a:ext cx="180975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590550</xdr:colOff>
      <xdr:row>30</xdr:row>
      <xdr:rowOff>1</xdr:rowOff>
    </xdr:from>
    <xdr:to>
      <xdr:col>19</xdr:col>
      <xdr:colOff>0</xdr:colOff>
      <xdr:row>35</xdr:row>
      <xdr:rowOff>133351</xdr:rowOff>
    </xdr:to>
    <mc:AlternateContent xmlns:mc="http://schemas.openxmlformats.org/markup-compatibility/2006" xmlns:a14="http://schemas.microsoft.com/office/drawing/2010/main">
      <mc:Choice Requires="a14">
        <xdr:graphicFrame macro="">
          <xdr:nvGraphicFramePr>
            <xdr:cNvPr id="12"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734550" y="5607051"/>
              <a:ext cx="1847850" cy="1136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10</xdr:row>
      <xdr:rowOff>0</xdr:rowOff>
    </xdr:from>
    <xdr:to>
      <xdr:col>9</xdr:col>
      <xdr:colOff>304800</xdr:colOff>
      <xdr:row>25</xdr:row>
      <xdr:rowOff>177800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31</xdr:row>
      <xdr:rowOff>25400</xdr:rowOff>
    </xdr:from>
    <xdr:to>
      <xdr:col>6</xdr:col>
      <xdr:colOff>12700</xdr:colOff>
      <xdr:row>53</xdr:row>
      <xdr:rowOff>38100</xdr:rowOff>
    </xdr:to>
    <xdr:sp macro="" textlink="">
      <xdr:nvSpPr>
        <xdr:cNvPr id="14" name="Rectangle 13"/>
        <xdr:cNvSpPr/>
      </xdr:nvSpPr>
      <xdr:spPr>
        <a:xfrm>
          <a:off x="165100" y="5899150"/>
          <a:ext cx="3505200" cy="4064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400" b="1"/>
            <a:t>BUSINESS INSIGHTS</a:t>
          </a:r>
        </a:p>
        <a:p>
          <a:pPr algn="l"/>
          <a:r>
            <a:rPr lang="en-GB" sz="1400" b="1"/>
            <a:t>1. Shoes</a:t>
          </a:r>
          <a:r>
            <a:rPr lang="en-GB" sz="1400" b="1" baseline="0"/>
            <a:t> generate the highest revenue.</a:t>
          </a:r>
        </a:p>
        <a:p>
          <a:pPr algn="l"/>
          <a:r>
            <a:rPr lang="en-GB" sz="1400" b="1" baseline="0"/>
            <a:t>2.Lagos is the top performing region and also the strongest market.</a:t>
          </a:r>
        </a:p>
        <a:p>
          <a:pPr algn="l"/>
          <a:r>
            <a:rPr lang="en-GB" sz="1400" b="1" baseline="0"/>
            <a:t>3.Bags have low sales and may need promotion.</a:t>
          </a:r>
        </a:p>
        <a:p>
          <a:pPr algn="l"/>
          <a:r>
            <a:rPr lang="en-GB" sz="1400" b="1" baseline="0"/>
            <a:t>4.Total revenue is 5390 with Lagos contributing the highest share, indicating a strong market presence in that region.</a:t>
          </a:r>
        </a:p>
        <a:p>
          <a:pPr algn="l"/>
          <a:r>
            <a:rPr lang="en-GB" sz="1400" b="1" baseline="0"/>
            <a:t>5. Sales peak is on the 6th Jan with the highest revenue recorded.</a:t>
          </a:r>
        </a:p>
        <a:p>
          <a:pPr algn="l"/>
          <a:endParaRPr lang="en-GB" sz="1400" b="1" baseline="0"/>
        </a:p>
        <a:p>
          <a:pPr algn="l"/>
          <a:r>
            <a:rPr lang="en-GB" sz="1400" b="1" baseline="0"/>
            <a:t>              RECOMMENDATIONS</a:t>
          </a:r>
        </a:p>
        <a:p>
          <a:pPr algn="l"/>
          <a:r>
            <a:rPr lang="en-GB" sz="1400" b="1" baseline="0"/>
            <a:t>1. Increase marketing for shoes.</a:t>
          </a:r>
        </a:p>
        <a:p>
          <a:pPr algn="l"/>
          <a:r>
            <a:rPr lang="en-GB" sz="1400" b="1" baseline="0"/>
            <a:t>2. Improve sales strategy in Abuja.</a:t>
          </a:r>
        </a:p>
        <a:p>
          <a:pPr algn="l"/>
          <a:r>
            <a:rPr lang="en-GB" sz="1400" b="1" baseline="0"/>
            <a:t>3.Promote low performing product.</a:t>
          </a:r>
          <a:endParaRPr lang="en-GB"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USER" refreshedDate="46112.790162731479" createdVersion="5" refreshedVersion="5" minRefreshableVersion="3" recordCount="10">
  <cacheSource type="worksheet">
    <worksheetSource ref="B3:F13" sheet="Sheet2"/>
  </cacheSource>
  <cacheFields count="5">
    <cacheField name="Product" numFmtId="0">
      <sharedItems/>
    </cacheField>
    <cacheField name="Region" numFmtId="0">
      <sharedItems count="3">
        <s v="Lagos"/>
        <s v="Abuja"/>
        <s v="Port-Harcourt"/>
      </sharedItems>
    </cacheField>
    <cacheField name="Sales" numFmtId="0">
      <sharedItems containsSemiMixedTypes="0" containsString="0" containsNumber="1" containsInteger="1" minValue="100" maxValue="400"/>
    </cacheField>
    <cacheField name="Quantity" numFmtId="0">
      <sharedItems containsSemiMixedTypes="0" containsString="0" containsNumber="1" containsInteger="1" minValue="1" maxValue="4"/>
    </cacheField>
    <cacheField name="Total Revenue" numFmtId="0">
      <sharedItems containsSemiMixedTypes="0" containsString="0" containsNumber="1" containsInteger="1" minValue="100" maxValue="1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12.791994675928" createdVersion="5" refreshedVersion="5" minRefreshableVersion="3" recordCount="10">
  <cacheSource type="worksheet">
    <worksheetSource ref="B3:F13" sheet="Sheet3"/>
  </cacheSource>
  <cacheFields count="5">
    <cacheField name="Product" numFmtId="0">
      <sharedItems count="3">
        <s v="Shoes"/>
        <s v="Bag"/>
        <s v="Watch"/>
      </sharedItems>
    </cacheField>
    <cacheField name="Region" numFmtId="0">
      <sharedItems/>
    </cacheField>
    <cacheField name="Sales" numFmtId="0">
      <sharedItems containsSemiMixedTypes="0" containsString="0" containsNumber="1" containsInteger="1" minValue="100" maxValue="400"/>
    </cacheField>
    <cacheField name="Quantity" numFmtId="0">
      <sharedItems containsSemiMixedTypes="0" containsString="0" containsNumber="1" containsInteger="1" minValue="1" maxValue="4"/>
    </cacheField>
    <cacheField name="Total Revenue" numFmtId="0">
      <sharedItems containsSemiMixedTypes="0" containsString="0" containsNumber="1" containsInteger="1" minValue="100" maxValue="16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112.794487847219" createdVersion="5" refreshedVersion="5" minRefreshableVersion="3" recordCount="10">
  <cacheSource type="worksheet">
    <worksheetSource ref="A2:D12" sheet="Sheet4"/>
  </cacheSource>
  <cacheFields count="4">
    <cacheField name="Date" numFmtId="16">
      <sharedItems containsSemiMixedTypes="0" containsNonDate="0" containsDate="1" containsString="0" minDate="2026-01-01T00:00:00" maxDate="2026-01-11T00:00:00" count="10">
        <d v="2026-01-01T00:00:00"/>
        <d v="2026-01-02T00:00:00"/>
        <d v="2026-01-03T00:00:00"/>
        <d v="2026-01-04T00:00:00"/>
        <d v="2026-01-05T00:00:00"/>
        <d v="2026-01-06T00:00:00"/>
        <d v="2026-01-07T00:00:00"/>
        <d v="2026-01-08T00:00:00"/>
        <d v="2026-01-09T00:00:00"/>
        <d v="2026-01-10T00:00:00"/>
      </sharedItems>
    </cacheField>
    <cacheField name="Product" numFmtId="0">
      <sharedItems count="3">
        <s v="Shoes"/>
        <s v="Bag"/>
        <s v="Watch"/>
      </sharedItems>
    </cacheField>
    <cacheField name="Region" numFmtId="0">
      <sharedItems/>
    </cacheField>
    <cacheField name="Sales" numFmtId="0">
      <sharedItems containsSemiMixedTypes="0" containsString="0" containsNumber="1" containsInteger="1" minValue="100" maxValue="400"/>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112.814925115737" createdVersion="5" refreshedVersion="5" minRefreshableVersion="3" recordCount="10">
  <cacheSource type="worksheet">
    <worksheetSource ref="A2:D12" sheet="Sheet1"/>
  </cacheSource>
  <cacheFields count="4">
    <cacheField name="Date" numFmtId="16">
      <sharedItems containsSemiMixedTypes="0" containsNonDate="0" containsDate="1" containsString="0" minDate="2026-01-01T00:00:00" maxDate="2026-01-11T00:00:00"/>
    </cacheField>
    <cacheField name="Product" numFmtId="0">
      <sharedItems count="3">
        <s v="Shoes"/>
        <s v="Bag"/>
        <s v="Watch"/>
      </sharedItems>
    </cacheField>
    <cacheField name="Region" numFmtId="0">
      <sharedItems/>
    </cacheField>
    <cacheField name="Sales" numFmtId="0">
      <sharedItems containsSemiMixedTypes="0" containsString="0" containsNumber="1" containsInteger="1" minValue="100" maxValue="4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USER" refreshedDate="46112.786972916663" createdVersion="5" refreshedVersion="5" minRefreshableVersion="3" recordCount="10">
  <cacheSource type="worksheet">
    <worksheetSource ref="B2:F12" sheet="Sheet1"/>
  </cacheSource>
  <cacheFields count="5">
    <cacheField name="Product" numFmtId="0">
      <sharedItems count="3">
        <s v="Shoes"/>
        <s v="Bag"/>
        <s v="Watch"/>
      </sharedItems>
    </cacheField>
    <cacheField name="Region" numFmtId="0">
      <sharedItems count="3">
        <s v="Lagos"/>
        <s v="Abuja"/>
        <s v="Port-Harcourt"/>
      </sharedItems>
    </cacheField>
    <cacheField name="Sales" numFmtId="0">
      <sharedItems containsSemiMixedTypes="0" containsString="0" containsNumber="1" containsInteger="1" minValue="100" maxValue="400" count="10">
        <n v="200"/>
        <n v="150"/>
        <n v="300"/>
        <n v="250"/>
        <n v="100"/>
        <n v="400"/>
        <n v="180"/>
        <n v="220"/>
        <n v="130"/>
        <n v="270"/>
      </sharedItems>
    </cacheField>
    <cacheField name="Quantity" numFmtId="0">
      <sharedItems containsSemiMixedTypes="0" containsString="0" containsNumber="1" containsInteger="1" minValue="1" maxValue="4"/>
    </cacheField>
    <cacheField name="Total Revenue" numFmtId="0">
      <sharedItems containsSemiMixedTypes="0" containsString="0" containsNumber="1" containsInteger="1" minValue="100" maxValue="16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s v="Shoes"/>
    <x v="0"/>
    <n v="200"/>
    <n v="2"/>
    <n v="400"/>
  </r>
  <r>
    <s v="Bag"/>
    <x v="1"/>
    <n v="150"/>
    <n v="1"/>
    <n v="150"/>
  </r>
  <r>
    <s v="Shoes"/>
    <x v="0"/>
    <n v="300"/>
    <n v="3"/>
    <n v="900"/>
  </r>
  <r>
    <s v="Watch"/>
    <x v="0"/>
    <n v="250"/>
    <n v="2"/>
    <n v="500"/>
  </r>
  <r>
    <s v="Bag"/>
    <x v="1"/>
    <n v="100"/>
    <n v="1"/>
    <n v="100"/>
  </r>
  <r>
    <s v="Shoes"/>
    <x v="2"/>
    <n v="400"/>
    <n v="4"/>
    <n v="1600"/>
  </r>
  <r>
    <s v="Watch"/>
    <x v="1"/>
    <n v="180"/>
    <n v="2"/>
    <n v="360"/>
  </r>
  <r>
    <s v="Shoes"/>
    <x v="0"/>
    <n v="220"/>
    <n v="2"/>
    <n v="440"/>
  </r>
  <r>
    <s v="Bag"/>
    <x v="2"/>
    <n v="130"/>
    <n v="1"/>
    <n v="130"/>
  </r>
  <r>
    <s v="Watch"/>
    <x v="0"/>
    <n v="270"/>
    <n v="3"/>
    <n v="810"/>
  </r>
</pivotCacheRecords>
</file>

<file path=xl/pivotCache/pivotCacheRecords2.xml><?xml version="1.0" encoding="utf-8"?>
<pivotCacheRecords xmlns="http://schemas.openxmlformats.org/spreadsheetml/2006/main" xmlns:r="http://schemas.openxmlformats.org/officeDocument/2006/relationships" count="10">
  <r>
    <x v="0"/>
    <s v="Lagos"/>
    <n v="200"/>
    <n v="2"/>
    <n v="400"/>
  </r>
  <r>
    <x v="1"/>
    <s v="Abuja"/>
    <n v="150"/>
    <n v="1"/>
    <n v="150"/>
  </r>
  <r>
    <x v="0"/>
    <s v="Lagos"/>
    <n v="300"/>
    <n v="3"/>
    <n v="900"/>
  </r>
  <r>
    <x v="2"/>
    <s v="Lagos"/>
    <n v="250"/>
    <n v="2"/>
    <n v="500"/>
  </r>
  <r>
    <x v="1"/>
    <s v="Abuja"/>
    <n v="100"/>
    <n v="1"/>
    <n v="100"/>
  </r>
  <r>
    <x v="0"/>
    <s v="Port-Harcourt"/>
    <n v="400"/>
    <n v="4"/>
    <n v="1600"/>
  </r>
  <r>
    <x v="2"/>
    <s v="Abuja"/>
    <n v="180"/>
    <n v="2"/>
    <n v="360"/>
  </r>
  <r>
    <x v="0"/>
    <s v="Lagos"/>
    <n v="220"/>
    <n v="2"/>
    <n v="440"/>
  </r>
  <r>
    <x v="1"/>
    <s v="Port-Harcourt"/>
    <n v="130"/>
    <n v="1"/>
    <n v="130"/>
  </r>
  <r>
    <x v="2"/>
    <s v="Lagos"/>
    <n v="270"/>
    <n v="3"/>
    <n v="810"/>
  </r>
</pivotCacheRecords>
</file>

<file path=xl/pivotCache/pivotCacheRecords3.xml><?xml version="1.0" encoding="utf-8"?>
<pivotCacheRecords xmlns="http://schemas.openxmlformats.org/spreadsheetml/2006/main" xmlns:r="http://schemas.openxmlformats.org/officeDocument/2006/relationships" count="10">
  <r>
    <x v="0"/>
    <x v="0"/>
    <s v="Lagos"/>
    <n v="200"/>
  </r>
  <r>
    <x v="1"/>
    <x v="1"/>
    <s v="Abuja"/>
    <n v="150"/>
  </r>
  <r>
    <x v="2"/>
    <x v="0"/>
    <s v="Lagos"/>
    <n v="300"/>
  </r>
  <r>
    <x v="3"/>
    <x v="2"/>
    <s v="Lagos"/>
    <n v="250"/>
  </r>
  <r>
    <x v="4"/>
    <x v="1"/>
    <s v="Abuja"/>
    <n v="100"/>
  </r>
  <r>
    <x v="5"/>
    <x v="0"/>
    <s v="Port-Harcourt"/>
    <n v="400"/>
  </r>
  <r>
    <x v="6"/>
    <x v="2"/>
    <s v="Abuja"/>
    <n v="180"/>
  </r>
  <r>
    <x v="7"/>
    <x v="0"/>
    <s v="Lagos"/>
    <n v="220"/>
  </r>
  <r>
    <x v="8"/>
    <x v="1"/>
    <s v="Port-Harcourt"/>
    <n v="130"/>
  </r>
  <r>
    <x v="9"/>
    <x v="2"/>
    <s v="Lagos"/>
    <n v="270"/>
  </r>
</pivotCacheRecords>
</file>

<file path=xl/pivotCache/pivotCacheRecords4.xml><?xml version="1.0" encoding="utf-8"?>
<pivotCacheRecords xmlns="http://schemas.openxmlformats.org/spreadsheetml/2006/main" xmlns:r="http://schemas.openxmlformats.org/officeDocument/2006/relationships" count="10">
  <r>
    <d v="2026-01-01T00:00:00"/>
    <x v="0"/>
    <s v="Lagos"/>
    <n v="200"/>
  </r>
  <r>
    <d v="2026-01-02T00:00:00"/>
    <x v="1"/>
    <s v="Abuja"/>
    <n v="150"/>
  </r>
  <r>
    <d v="2026-01-03T00:00:00"/>
    <x v="0"/>
    <s v="Lagos"/>
    <n v="300"/>
  </r>
  <r>
    <d v="2026-01-04T00:00:00"/>
    <x v="2"/>
    <s v="Lagos"/>
    <n v="250"/>
  </r>
  <r>
    <d v="2026-01-05T00:00:00"/>
    <x v="1"/>
    <s v="Abuja"/>
    <n v="100"/>
  </r>
  <r>
    <d v="2026-01-06T00:00:00"/>
    <x v="0"/>
    <s v="Port-Harcourt"/>
    <n v="400"/>
  </r>
  <r>
    <d v="2026-01-07T00:00:00"/>
    <x v="2"/>
    <s v="Abuja"/>
    <n v="180"/>
  </r>
  <r>
    <d v="2026-01-08T00:00:00"/>
    <x v="0"/>
    <s v="Lagos"/>
    <n v="220"/>
  </r>
  <r>
    <d v="2026-01-09T00:00:00"/>
    <x v="1"/>
    <s v="Port-Harcourt"/>
    <n v="130"/>
  </r>
  <r>
    <d v="2026-01-10T00:00:00"/>
    <x v="2"/>
    <s v="Lagos"/>
    <n v="270"/>
  </r>
</pivotCacheRecords>
</file>

<file path=xl/pivotCache/pivotCacheRecords5.xml><?xml version="1.0" encoding="utf-8"?>
<pivotCacheRecords xmlns="http://schemas.openxmlformats.org/spreadsheetml/2006/main" xmlns:r="http://schemas.openxmlformats.org/officeDocument/2006/relationships" count="10">
  <r>
    <x v="0"/>
    <x v="0"/>
    <x v="0"/>
    <n v="2"/>
    <n v="400"/>
  </r>
  <r>
    <x v="1"/>
    <x v="1"/>
    <x v="1"/>
    <n v="1"/>
    <n v="150"/>
  </r>
  <r>
    <x v="0"/>
    <x v="0"/>
    <x v="2"/>
    <n v="3"/>
    <n v="900"/>
  </r>
  <r>
    <x v="2"/>
    <x v="0"/>
    <x v="3"/>
    <n v="2"/>
    <n v="500"/>
  </r>
  <r>
    <x v="1"/>
    <x v="1"/>
    <x v="4"/>
    <n v="1"/>
    <n v="100"/>
  </r>
  <r>
    <x v="0"/>
    <x v="2"/>
    <x v="5"/>
    <n v="4"/>
    <n v="1600"/>
  </r>
  <r>
    <x v="2"/>
    <x v="1"/>
    <x v="6"/>
    <n v="2"/>
    <n v="360"/>
  </r>
  <r>
    <x v="0"/>
    <x v="0"/>
    <x v="7"/>
    <n v="2"/>
    <n v="440"/>
  </r>
  <r>
    <x v="1"/>
    <x v="2"/>
    <x v="8"/>
    <n v="1"/>
    <n v="130"/>
  </r>
  <r>
    <x v="2"/>
    <x v="0"/>
    <x v="9"/>
    <n v="3"/>
    <n v="8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2:J6" firstHeaderRow="1" firstDataRow="1" firstDataCol="1"/>
  <pivotFields count="4">
    <pivotField numFmtId="16" showAll="0"/>
    <pivotField axis="axisRow" showAll="0">
      <items count="4">
        <item x="1"/>
        <item x="0"/>
        <item x="2"/>
        <item t="default"/>
      </items>
    </pivotField>
    <pivotField showAll="0"/>
    <pivotField dataField="1" showAll="0"/>
  </pivotFields>
  <rowFields count="1">
    <field x="1"/>
  </rowFields>
  <rowItems count="4">
    <i>
      <x/>
    </i>
    <i>
      <x v="1"/>
    </i>
    <i>
      <x v="2"/>
    </i>
    <i t="grand">
      <x/>
    </i>
  </rowItems>
  <colItems count="1">
    <i/>
  </colItems>
  <dataFields count="1">
    <dataField name="Total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J2:K6" firstHeaderRow="1" firstDataRow="1" firstDataCol="1"/>
  <pivotFields count="5">
    <pivotField showAll="0"/>
    <pivotField axis="axisRow" showAll="0">
      <items count="4">
        <item x="1"/>
        <item x="0"/>
        <item x="2"/>
        <item t="default"/>
      </items>
    </pivotField>
    <pivotField dataField="1" showAll="0"/>
    <pivotField showAll="0"/>
    <pivotField showAll="0"/>
  </pivotFields>
  <rowFields count="1">
    <field x="1"/>
  </rowFields>
  <rowItems count="4">
    <i>
      <x/>
    </i>
    <i>
      <x v="1"/>
    </i>
    <i>
      <x v="2"/>
    </i>
    <i t="grand">
      <x/>
    </i>
  </rowItems>
  <colItems count="1">
    <i/>
  </colItems>
  <dataFields count="1">
    <dataField name="Total Sales" fld="2"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J2:K6" firstHeaderRow="1" firstDataRow="1" firstDataCol="1"/>
  <pivotFields count="5">
    <pivotField axis="axisRow" showAll="0">
      <items count="4">
        <item x="1"/>
        <item x="0"/>
        <item x="2"/>
        <item t="default"/>
      </items>
    </pivotField>
    <pivotField showAll="0"/>
    <pivotField dataField="1" showAll="0"/>
    <pivotField showAll="0"/>
    <pivotField showAll="0"/>
  </pivotFields>
  <rowFields count="1">
    <field x="0"/>
  </rowFields>
  <rowItems count="4">
    <i>
      <x/>
    </i>
    <i>
      <x v="1"/>
    </i>
    <i>
      <x v="2"/>
    </i>
    <i t="grand">
      <x/>
    </i>
  </rowItems>
  <colItems count="1">
    <i/>
  </colItems>
  <dataFields count="1">
    <dataField name="Sum of Sales" fld="2" baseField="0" baseItem="0"/>
  </dataFields>
  <chartFormats count="2">
    <chartFormat chart="13" format="3"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J2:K13" firstHeaderRow="1" firstDataRow="1" firstDataCol="1"/>
  <pivotFields count="4">
    <pivotField axis="axisRow" numFmtId="16" showAll="0">
      <items count="11">
        <item x="0"/>
        <item x="1"/>
        <item x="2"/>
        <item x="3"/>
        <item x="4"/>
        <item x="5"/>
        <item x="6"/>
        <item x="7"/>
        <item x="8"/>
        <item x="9"/>
        <item t="default"/>
      </items>
    </pivotField>
    <pivotField showAll="0">
      <items count="4">
        <item x="1"/>
        <item x="0"/>
        <item x="2"/>
        <item t="default"/>
      </items>
    </pivotField>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Total Sales" fld="3"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 sourceName="Sales">
  <data>
    <tabular pivotCacheId="1">
      <items count="10">
        <i x="4" s="1"/>
        <i x="8"/>
        <i x="1"/>
        <i x="6"/>
        <i x="0"/>
        <i x="7"/>
        <i x="3"/>
        <i x="9"/>
        <i x="2"/>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4"/>
  </pivotTables>
  <data>
    <tabular pivotCacheId="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Sales 1" cache="Slicer_Sales" caption="Sales" rowHeight="241300"/>
  <slicer name="Product 1"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6"/>
  <sheetViews>
    <sheetView topLeftCell="A2" workbookViewId="0">
      <selection activeCell="B24" sqref="B24"/>
    </sheetView>
  </sheetViews>
  <sheetFormatPr defaultRowHeight="14.5" x14ac:dyDescent="0.35"/>
  <cols>
    <col min="3" max="3" width="13.7265625" customWidth="1"/>
    <col min="6" max="6" width="13.08984375" customWidth="1"/>
    <col min="7" max="7" width="11.26953125" customWidth="1"/>
    <col min="9" max="9" width="12.36328125" customWidth="1"/>
    <col min="10" max="10" width="11.26953125" customWidth="1"/>
  </cols>
  <sheetData>
    <row r="2" spans="1:10" x14ac:dyDescent="0.35">
      <c r="A2" t="s">
        <v>0</v>
      </c>
      <c r="B2" t="s">
        <v>1</v>
      </c>
      <c r="C2" t="s">
        <v>2</v>
      </c>
      <c r="D2" t="s">
        <v>3</v>
      </c>
      <c r="E2" t="s">
        <v>4</v>
      </c>
      <c r="F2" t="s">
        <v>11</v>
      </c>
      <c r="G2" t="s">
        <v>12</v>
      </c>
      <c r="I2" s="3" t="s">
        <v>16</v>
      </c>
      <c r="J2" t="s">
        <v>18</v>
      </c>
    </row>
    <row r="3" spans="1:10" x14ac:dyDescent="0.35">
      <c r="A3" s="1">
        <v>46023</v>
      </c>
      <c r="B3" s="2" t="s">
        <v>5</v>
      </c>
      <c r="C3" s="2" t="s">
        <v>6</v>
      </c>
      <c r="D3" s="2">
        <v>200</v>
      </c>
      <c r="E3" s="2">
        <v>2</v>
      </c>
      <c r="F3" s="2">
        <f>D3*E3</f>
        <v>400</v>
      </c>
      <c r="G3" t="str">
        <f>IF(F3&gt;=400,"High", "Low")</f>
        <v>High</v>
      </c>
      <c r="I3" s="2" t="s">
        <v>7</v>
      </c>
      <c r="J3" s="4">
        <v>380</v>
      </c>
    </row>
    <row r="4" spans="1:10" x14ac:dyDescent="0.35">
      <c r="A4" s="1">
        <v>46024</v>
      </c>
      <c r="B4" s="2" t="s">
        <v>7</v>
      </c>
      <c r="C4" s="2" t="s">
        <v>9</v>
      </c>
      <c r="D4" s="2">
        <v>150</v>
      </c>
      <c r="E4" s="2">
        <v>1</v>
      </c>
      <c r="F4" s="2">
        <f t="shared" ref="F4:F12" si="0">D4*E4</f>
        <v>150</v>
      </c>
      <c r="G4" t="str">
        <f t="shared" ref="G4:G13" si="1">IF(F4&gt;=400,"High", "Low")</f>
        <v>Low</v>
      </c>
      <c r="I4" s="2" t="s">
        <v>5</v>
      </c>
      <c r="J4" s="4">
        <v>1120</v>
      </c>
    </row>
    <row r="5" spans="1:10" x14ac:dyDescent="0.35">
      <c r="A5" s="1">
        <v>46025</v>
      </c>
      <c r="B5" s="2" t="s">
        <v>5</v>
      </c>
      <c r="C5" s="2" t="s">
        <v>6</v>
      </c>
      <c r="D5" s="2">
        <v>300</v>
      </c>
      <c r="E5" s="2">
        <v>3</v>
      </c>
      <c r="F5" s="2">
        <f t="shared" si="0"/>
        <v>900</v>
      </c>
      <c r="G5" t="str">
        <f t="shared" si="1"/>
        <v>High</v>
      </c>
      <c r="I5" s="2" t="s">
        <v>8</v>
      </c>
      <c r="J5" s="4">
        <v>700</v>
      </c>
    </row>
    <row r="6" spans="1:10" x14ac:dyDescent="0.35">
      <c r="A6" s="1">
        <v>46026</v>
      </c>
      <c r="B6" s="2" t="s">
        <v>8</v>
      </c>
      <c r="C6" s="2" t="s">
        <v>6</v>
      </c>
      <c r="D6" s="2">
        <v>250</v>
      </c>
      <c r="E6" s="2">
        <v>2</v>
      </c>
      <c r="F6" s="2">
        <f t="shared" si="0"/>
        <v>500</v>
      </c>
      <c r="G6" t="str">
        <f t="shared" si="1"/>
        <v>High</v>
      </c>
      <c r="I6" s="2" t="s">
        <v>17</v>
      </c>
      <c r="J6" s="4">
        <v>2200</v>
      </c>
    </row>
    <row r="7" spans="1:10" x14ac:dyDescent="0.35">
      <c r="A7" s="1">
        <v>46027</v>
      </c>
      <c r="B7" s="2" t="s">
        <v>7</v>
      </c>
      <c r="C7" s="2" t="s">
        <v>9</v>
      </c>
      <c r="D7" s="2">
        <v>100</v>
      </c>
      <c r="E7" s="2">
        <v>1</v>
      </c>
      <c r="F7" s="2">
        <f t="shared" si="0"/>
        <v>100</v>
      </c>
      <c r="G7" t="str">
        <f t="shared" si="1"/>
        <v>Low</v>
      </c>
    </row>
    <row r="8" spans="1:10" x14ac:dyDescent="0.35">
      <c r="A8" s="1">
        <v>46028</v>
      </c>
      <c r="B8" s="2" t="s">
        <v>5</v>
      </c>
      <c r="C8" s="2" t="s">
        <v>10</v>
      </c>
      <c r="D8" s="2">
        <v>400</v>
      </c>
      <c r="E8" s="2">
        <v>4</v>
      </c>
      <c r="F8" s="2">
        <f t="shared" si="0"/>
        <v>1600</v>
      </c>
      <c r="G8" t="str">
        <f t="shared" si="1"/>
        <v>High</v>
      </c>
    </row>
    <row r="9" spans="1:10" x14ac:dyDescent="0.35">
      <c r="A9" s="1">
        <v>46029</v>
      </c>
      <c r="B9" s="2" t="s">
        <v>8</v>
      </c>
      <c r="C9" s="2" t="s">
        <v>9</v>
      </c>
      <c r="D9" s="2">
        <v>180</v>
      </c>
      <c r="E9" s="2">
        <v>2</v>
      </c>
      <c r="F9" s="2">
        <f t="shared" si="0"/>
        <v>360</v>
      </c>
      <c r="G9" t="str">
        <f t="shared" si="1"/>
        <v>Low</v>
      </c>
    </row>
    <row r="10" spans="1:10" x14ac:dyDescent="0.35">
      <c r="A10" s="1">
        <v>46030</v>
      </c>
      <c r="B10" s="2" t="s">
        <v>5</v>
      </c>
      <c r="C10" s="2" t="s">
        <v>6</v>
      </c>
      <c r="D10" s="2">
        <v>220</v>
      </c>
      <c r="E10" s="2">
        <v>2</v>
      </c>
      <c r="F10" s="2">
        <f t="shared" si="0"/>
        <v>440</v>
      </c>
      <c r="G10" t="str">
        <f t="shared" si="1"/>
        <v>High</v>
      </c>
    </row>
    <row r="11" spans="1:10" x14ac:dyDescent="0.35">
      <c r="A11" s="1">
        <v>46031</v>
      </c>
      <c r="B11" s="2" t="s">
        <v>7</v>
      </c>
      <c r="C11" s="2" t="s">
        <v>10</v>
      </c>
      <c r="D11" s="2">
        <v>130</v>
      </c>
      <c r="E11" s="2">
        <v>1</v>
      </c>
      <c r="F11" s="2">
        <f t="shared" si="0"/>
        <v>130</v>
      </c>
      <c r="G11" t="str">
        <f t="shared" si="1"/>
        <v>Low</v>
      </c>
    </row>
    <row r="12" spans="1:10" x14ac:dyDescent="0.35">
      <c r="A12" s="1">
        <v>46032</v>
      </c>
      <c r="B12" s="2" t="s">
        <v>8</v>
      </c>
      <c r="C12" s="2" t="s">
        <v>6</v>
      </c>
      <c r="D12" s="2">
        <v>270</v>
      </c>
      <c r="E12" s="2">
        <v>3</v>
      </c>
      <c r="F12" s="2">
        <f t="shared" si="0"/>
        <v>810</v>
      </c>
      <c r="G12" t="str">
        <f t="shared" si="1"/>
        <v>High</v>
      </c>
    </row>
    <row r="13" spans="1:10" x14ac:dyDescent="0.35">
      <c r="D13" s="2">
        <f>SUM(D3:D12)</f>
        <v>2200</v>
      </c>
      <c r="E13" s="2">
        <f>SUM(E3:E12)</f>
        <v>21</v>
      </c>
      <c r="F13" s="2">
        <f>SUM(F3:F12)</f>
        <v>5390</v>
      </c>
      <c r="G13" t="str">
        <f t="shared" si="1"/>
        <v>High</v>
      </c>
    </row>
    <row r="14" spans="1:10" x14ac:dyDescent="0.35">
      <c r="D14" s="5"/>
    </row>
    <row r="15" spans="1:10" x14ac:dyDescent="0.35">
      <c r="A15" t="s">
        <v>27</v>
      </c>
      <c r="D15" s="2">
        <f>SUM(F3:F12)</f>
        <v>5390</v>
      </c>
    </row>
    <row r="16" spans="1:10" x14ac:dyDescent="0.35">
      <c r="A16" t="s">
        <v>13</v>
      </c>
      <c r="D16" s="2">
        <f>AVERAGE(D3:D12)</f>
        <v>220</v>
      </c>
    </row>
    <row r="17" spans="1:4" x14ac:dyDescent="0.35">
      <c r="A17" t="s">
        <v>22</v>
      </c>
      <c r="D17" s="2">
        <f>COUNT(D3:D12)</f>
        <v>10</v>
      </c>
    </row>
    <row r="18" spans="1:4" x14ac:dyDescent="0.35">
      <c r="A18" t="s">
        <v>28</v>
      </c>
      <c r="D18" s="2">
        <f>SUMIF(C3:C12, "Lagos", D3:D12)</f>
        <v>1240</v>
      </c>
    </row>
    <row r="19" spans="1:4" x14ac:dyDescent="0.35">
      <c r="A19" t="s">
        <v>29</v>
      </c>
      <c r="D19" s="2">
        <f>SUMIF(C3:C12, "Abuja", D3:D12)</f>
        <v>430</v>
      </c>
    </row>
    <row r="20" spans="1:4" x14ac:dyDescent="0.35">
      <c r="A20" t="s">
        <v>14</v>
      </c>
      <c r="D20" s="2">
        <f>SUMIF(C3:C12, "Port-harcourt", D3:D12)</f>
        <v>530</v>
      </c>
    </row>
    <row r="21" spans="1:4" x14ac:dyDescent="0.35">
      <c r="A21" t="s">
        <v>30</v>
      </c>
      <c r="D21" s="2">
        <f>SUMIF(C3:C12, "Lagos",F3:F12)</f>
        <v>3050</v>
      </c>
    </row>
    <row r="22" spans="1:4" x14ac:dyDescent="0.35">
      <c r="A22" t="s">
        <v>31</v>
      </c>
      <c r="D22" s="2">
        <f>SUMIF(C3:C12,"Abuja", F3:F12)</f>
        <v>610</v>
      </c>
    </row>
    <row r="23" spans="1:4" x14ac:dyDescent="0.35">
      <c r="A23" t="s">
        <v>15</v>
      </c>
      <c r="D23" s="2">
        <f>SUMIF(C3:C12, "Port-Harcourt", F3:F12)</f>
        <v>1730</v>
      </c>
    </row>
    <row r="24" spans="1:4" x14ac:dyDescent="0.35">
      <c r="D24" s="2"/>
    </row>
    <row r="25" spans="1:4" x14ac:dyDescent="0.35">
      <c r="D25" s="2"/>
    </row>
    <row r="26" spans="1:4" x14ac:dyDescent="0.35">
      <c r="D2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
  <sheetViews>
    <sheetView workbookViewId="0">
      <selection activeCell="D16" sqref="D16"/>
    </sheetView>
  </sheetViews>
  <sheetFormatPr defaultRowHeight="14.5" x14ac:dyDescent="0.35"/>
  <cols>
    <col min="10" max="10" width="12.36328125" bestFit="1" customWidth="1"/>
    <col min="11" max="11" width="11.26953125" bestFit="1" customWidth="1"/>
  </cols>
  <sheetData>
    <row r="2" spans="1:11" x14ac:dyDescent="0.35">
      <c r="J2" s="3" t="s">
        <v>16</v>
      </c>
      <c r="K2" t="s">
        <v>18</v>
      </c>
    </row>
    <row r="3" spans="1:11" x14ac:dyDescent="0.35">
      <c r="A3" t="s">
        <v>0</v>
      </c>
      <c r="B3" t="s">
        <v>1</v>
      </c>
      <c r="C3" t="s">
        <v>2</v>
      </c>
      <c r="D3" t="s">
        <v>3</v>
      </c>
      <c r="E3" t="s">
        <v>4</v>
      </c>
      <c r="F3" t="s">
        <v>11</v>
      </c>
      <c r="G3" t="s">
        <v>12</v>
      </c>
      <c r="J3" s="2" t="s">
        <v>9</v>
      </c>
      <c r="K3" s="4">
        <v>430</v>
      </c>
    </row>
    <row r="4" spans="1:11" x14ac:dyDescent="0.35">
      <c r="A4" s="1">
        <v>46023</v>
      </c>
      <c r="B4" s="2" t="s">
        <v>5</v>
      </c>
      <c r="C4" s="2" t="s">
        <v>6</v>
      </c>
      <c r="D4" s="2">
        <v>200</v>
      </c>
      <c r="E4" s="2">
        <v>2</v>
      </c>
      <c r="F4">
        <f>D4*E4</f>
        <v>400</v>
      </c>
      <c r="G4" t="str">
        <f>IF(F4&gt;=400,"High", "Low")</f>
        <v>High</v>
      </c>
      <c r="J4" s="2" t="s">
        <v>6</v>
      </c>
      <c r="K4" s="4">
        <v>1240</v>
      </c>
    </row>
    <row r="5" spans="1:11" x14ac:dyDescent="0.35">
      <c r="A5" s="1">
        <v>46024</v>
      </c>
      <c r="B5" s="2" t="s">
        <v>7</v>
      </c>
      <c r="C5" s="2" t="s">
        <v>9</v>
      </c>
      <c r="D5" s="2">
        <v>150</v>
      </c>
      <c r="E5" s="2">
        <v>1</v>
      </c>
      <c r="F5">
        <f t="shared" ref="F5:F13" si="0">D5*E5</f>
        <v>150</v>
      </c>
      <c r="G5" t="str">
        <f t="shared" ref="G5:G13" si="1">IF(F5&gt;=400,"High", "Low")</f>
        <v>Low</v>
      </c>
      <c r="J5" s="2" t="s">
        <v>10</v>
      </c>
      <c r="K5" s="4">
        <v>530</v>
      </c>
    </row>
    <row r="6" spans="1:11" x14ac:dyDescent="0.35">
      <c r="A6" s="1">
        <v>46025</v>
      </c>
      <c r="B6" s="2" t="s">
        <v>5</v>
      </c>
      <c r="C6" s="2" t="s">
        <v>6</v>
      </c>
      <c r="D6" s="2">
        <v>300</v>
      </c>
      <c r="E6" s="2">
        <v>3</v>
      </c>
      <c r="F6">
        <f t="shared" si="0"/>
        <v>900</v>
      </c>
      <c r="G6" t="str">
        <f t="shared" si="1"/>
        <v>High</v>
      </c>
      <c r="J6" s="2" t="s">
        <v>17</v>
      </c>
      <c r="K6" s="4">
        <v>2200</v>
      </c>
    </row>
    <row r="7" spans="1:11" x14ac:dyDescent="0.35">
      <c r="A7" s="1">
        <v>46026</v>
      </c>
      <c r="B7" s="2" t="s">
        <v>8</v>
      </c>
      <c r="C7" s="2" t="s">
        <v>6</v>
      </c>
      <c r="D7" s="2">
        <v>250</v>
      </c>
      <c r="E7" s="2">
        <v>2</v>
      </c>
      <c r="F7">
        <f t="shared" si="0"/>
        <v>500</v>
      </c>
      <c r="G7" t="str">
        <f t="shared" si="1"/>
        <v>High</v>
      </c>
    </row>
    <row r="8" spans="1:11" x14ac:dyDescent="0.35">
      <c r="A8" s="1">
        <v>46027</v>
      </c>
      <c r="B8" s="2" t="s">
        <v>7</v>
      </c>
      <c r="C8" s="2" t="s">
        <v>9</v>
      </c>
      <c r="D8" s="2">
        <v>100</v>
      </c>
      <c r="E8" s="2">
        <v>1</v>
      </c>
      <c r="F8">
        <f t="shared" si="0"/>
        <v>100</v>
      </c>
      <c r="G8" t="str">
        <f t="shared" si="1"/>
        <v>Low</v>
      </c>
    </row>
    <row r="9" spans="1:11" x14ac:dyDescent="0.35">
      <c r="A9" s="1">
        <v>46028</v>
      </c>
      <c r="B9" s="2" t="s">
        <v>5</v>
      </c>
      <c r="C9" s="2" t="s">
        <v>10</v>
      </c>
      <c r="D9" s="2">
        <v>400</v>
      </c>
      <c r="E9" s="2">
        <v>4</v>
      </c>
      <c r="F9">
        <f t="shared" si="0"/>
        <v>1600</v>
      </c>
      <c r="G9" t="str">
        <f t="shared" si="1"/>
        <v>High</v>
      </c>
    </row>
    <row r="10" spans="1:11" x14ac:dyDescent="0.35">
      <c r="A10" s="1">
        <v>46029</v>
      </c>
      <c r="B10" s="2" t="s">
        <v>8</v>
      </c>
      <c r="C10" s="2" t="s">
        <v>9</v>
      </c>
      <c r="D10" s="2">
        <v>180</v>
      </c>
      <c r="E10" s="2">
        <v>2</v>
      </c>
      <c r="F10">
        <f t="shared" si="0"/>
        <v>360</v>
      </c>
      <c r="G10" t="str">
        <f t="shared" si="1"/>
        <v>Low</v>
      </c>
    </row>
    <row r="11" spans="1:11" x14ac:dyDescent="0.35">
      <c r="A11" s="1">
        <v>46030</v>
      </c>
      <c r="B11" s="2" t="s">
        <v>5</v>
      </c>
      <c r="C11" s="2" t="s">
        <v>6</v>
      </c>
      <c r="D11" s="2">
        <v>220</v>
      </c>
      <c r="E11" s="2">
        <v>2</v>
      </c>
      <c r="F11">
        <f t="shared" si="0"/>
        <v>440</v>
      </c>
      <c r="G11" t="str">
        <f t="shared" si="1"/>
        <v>High</v>
      </c>
    </row>
    <row r="12" spans="1:11" x14ac:dyDescent="0.35">
      <c r="A12" s="1">
        <v>46031</v>
      </c>
      <c r="B12" s="2" t="s">
        <v>7</v>
      </c>
      <c r="C12" s="2" t="s">
        <v>10</v>
      </c>
      <c r="D12" s="2">
        <v>130</v>
      </c>
      <c r="E12" s="2">
        <v>1</v>
      </c>
      <c r="F12">
        <f t="shared" si="0"/>
        <v>130</v>
      </c>
      <c r="G12" t="str">
        <f t="shared" si="1"/>
        <v>Low</v>
      </c>
    </row>
    <row r="13" spans="1:11" x14ac:dyDescent="0.35">
      <c r="A13" s="1">
        <v>46032</v>
      </c>
      <c r="B13" s="2" t="s">
        <v>8</v>
      </c>
      <c r="C13" s="2" t="s">
        <v>6</v>
      </c>
      <c r="D13" s="2">
        <v>270</v>
      </c>
      <c r="E13" s="2">
        <v>3</v>
      </c>
      <c r="F13">
        <f t="shared" si="0"/>
        <v>810</v>
      </c>
      <c r="G13" t="str">
        <f t="shared" si="1"/>
        <v>High</v>
      </c>
      <c r="J13" t="s">
        <v>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
  <sheetViews>
    <sheetView workbookViewId="0">
      <selection activeCell="O11" sqref="O11"/>
    </sheetView>
  </sheetViews>
  <sheetFormatPr defaultRowHeight="14.5" x14ac:dyDescent="0.35"/>
  <cols>
    <col min="10" max="10" width="12.36328125" customWidth="1"/>
    <col min="11" max="11" width="11.26953125" customWidth="1"/>
    <col min="12" max="12" width="11.26953125" bestFit="1" customWidth="1"/>
  </cols>
  <sheetData>
    <row r="2" spans="1:11" x14ac:dyDescent="0.35">
      <c r="J2" s="3" t="s">
        <v>16</v>
      </c>
      <c r="K2" t="s">
        <v>32</v>
      </c>
    </row>
    <row r="3" spans="1:11" x14ac:dyDescent="0.35">
      <c r="A3" t="s">
        <v>0</v>
      </c>
      <c r="B3" t="s">
        <v>1</v>
      </c>
      <c r="C3" t="s">
        <v>2</v>
      </c>
      <c r="D3" t="s">
        <v>3</v>
      </c>
      <c r="E3" t="s">
        <v>4</v>
      </c>
      <c r="F3" t="s">
        <v>11</v>
      </c>
      <c r="J3" s="2" t="s">
        <v>7</v>
      </c>
      <c r="K3" s="4">
        <v>380</v>
      </c>
    </row>
    <row r="4" spans="1:11" x14ac:dyDescent="0.35">
      <c r="A4" s="1">
        <v>46023</v>
      </c>
      <c r="B4" s="2" t="s">
        <v>5</v>
      </c>
      <c r="C4" s="2" t="s">
        <v>6</v>
      </c>
      <c r="D4" s="2">
        <v>200</v>
      </c>
      <c r="E4" s="2">
        <v>2</v>
      </c>
      <c r="F4">
        <f>D4*E4</f>
        <v>400</v>
      </c>
      <c r="J4" s="2" t="s">
        <v>5</v>
      </c>
      <c r="K4" s="4">
        <v>1120</v>
      </c>
    </row>
    <row r="5" spans="1:11" x14ac:dyDescent="0.35">
      <c r="A5" s="1">
        <v>46024</v>
      </c>
      <c r="B5" s="2" t="s">
        <v>7</v>
      </c>
      <c r="C5" s="2" t="s">
        <v>9</v>
      </c>
      <c r="D5" s="2">
        <v>150</v>
      </c>
      <c r="E5" s="2">
        <v>1</v>
      </c>
      <c r="F5">
        <f t="shared" ref="F5:F13" si="0">D5*E5</f>
        <v>150</v>
      </c>
      <c r="J5" s="2" t="s">
        <v>8</v>
      </c>
      <c r="K5" s="4">
        <v>700</v>
      </c>
    </row>
    <row r="6" spans="1:11" x14ac:dyDescent="0.35">
      <c r="A6" s="1">
        <v>46025</v>
      </c>
      <c r="B6" s="2" t="s">
        <v>5</v>
      </c>
      <c r="C6" s="2" t="s">
        <v>6</v>
      </c>
      <c r="D6" s="2">
        <v>300</v>
      </c>
      <c r="E6" s="2">
        <v>3</v>
      </c>
      <c r="F6">
        <f t="shared" si="0"/>
        <v>900</v>
      </c>
      <c r="J6" s="2" t="s">
        <v>17</v>
      </c>
      <c r="K6" s="4">
        <v>2200</v>
      </c>
    </row>
    <row r="7" spans="1:11" x14ac:dyDescent="0.35">
      <c r="A7" s="1">
        <v>46026</v>
      </c>
      <c r="B7" s="2" t="s">
        <v>8</v>
      </c>
      <c r="C7" s="2" t="s">
        <v>6</v>
      </c>
      <c r="D7" s="2">
        <v>250</v>
      </c>
      <c r="E7" s="2">
        <v>2</v>
      </c>
      <c r="F7">
        <f t="shared" si="0"/>
        <v>500</v>
      </c>
    </row>
    <row r="8" spans="1:11" x14ac:dyDescent="0.35">
      <c r="A8" s="1">
        <v>46027</v>
      </c>
      <c r="B8" s="2" t="s">
        <v>7</v>
      </c>
      <c r="C8" s="2" t="s">
        <v>9</v>
      </c>
      <c r="D8" s="2">
        <v>100</v>
      </c>
      <c r="E8" s="2">
        <v>1</v>
      </c>
      <c r="F8">
        <f t="shared" si="0"/>
        <v>100</v>
      </c>
    </row>
    <row r="9" spans="1:11" x14ac:dyDescent="0.35">
      <c r="A9" s="1">
        <v>46028</v>
      </c>
      <c r="B9" s="2" t="s">
        <v>5</v>
      </c>
      <c r="C9" s="2" t="s">
        <v>10</v>
      </c>
      <c r="D9" s="2">
        <v>400</v>
      </c>
      <c r="E9" s="2">
        <v>4</v>
      </c>
      <c r="F9">
        <f t="shared" si="0"/>
        <v>1600</v>
      </c>
    </row>
    <row r="10" spans="1:11" x14ac:dyDescent="0.35">
      <c r="A10" s="1">
        <v>46029</v>
      </c>
      <c r="B10" s="2" t="s">
        <v>8</v>
      </c>
      <c r="C10" s="2" t="s">
        <v>9</v>
      </c>
      <c r="D10" s="2">
        <v>180</v>
      </c>
      <c r="E10" s="2">
        <v>2</v>
      </c>
      <c r="F10">
        <f t="shared" si="0"/>
        <v>360</v>
      </c>
    </row>
    <row r="11" spans="1:11" x14ac:dyDescent="0.35">
      <c r="A11" s="1">
        <v>46030</v>
      </c>
      <c r="B11" s="2" t="s">
        <v>5</v>
      </c>
      <c r="C11" s="2" t="s">
        <v>6</v>
      </c>
      <c r="D11" s="2">
        <v>220</v>
      </c>
      <c r="E11" s="2">
        <v>2</v>
      </c>
      <c r="F11">
        <f t="shared" si="0"/>
        <v>440</v>
      </c>
      <c r="J11" t="s">
        <v>19</v>
      </c>
    </row>
    <row r="12" spans="1:11" x14ac:dyDescent="0.35">
      <c r="A12" s="1">
        <v>46031</v>
      </c>
      <c r="B12" s="2" t="s">
        <v>7</v>
      </c>
      <c r="C12" s="2" t="s">
        <v>10</v>
      </c>
      <c r="D12" s="2">
        <v>130</v>
      </c>
      <c r="E12" s="2">
        <v>1</v>
      </c>
      <c r="F12">
        <f t="shared" si="0"/>
        <v>130</v>
      </c>
    </row>
    <row r="13" spans="1:11" x14ac:dyDescent="0.35">
      <c r="A13" s="1">
        <v>46032</v>
      </c>
      <c r="B13" s="2" t="s">
        <v>8</v>
      </c>
      <c r="C13" s="2" t="s">
        <v>6</v>
      </c>
      <c r="D13" s="2">
        <v>270</v>
      </c>
      <c r="E13" s="2">
        <v>3</v>
      </c>
      <c r="F13">
        <f t="shared" si="0"/>
        <v>810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5"/>
  <sheetViews>
    <sheetView workbookViewId="0">
      <selection activeCell="C17" sqref="C17"/>
    </sheetView>
  </sheetViews>
  <sheetFormatPr defaultRowHeight="14.5" x14ac:dyDescent="0.35"/>
  <cols>
    <col min="10" max="10" width="12.36328125" customWidth="1"/>
    <col min="11" max="11" width="9.7265625" customWidth="1"/>
  </cols>
  <sheetData>
    <row r="2" spans="1:11" x14ac:dyDescent="0.35">
      <c r="A2" t="s">
        <v>0</v>
      </c>
      <c r="B2" t="s">
        <v>1</v>
      </c>
      <c r="C2" t="s">
        <v>2</v>
      </c>
      <c r="D2" t="s">
        <v>3</v>
      </c>
      <c r="E2" t="s">
        <v>4</v>
      </c>
      <c r="F2" t="s">
        <v>11</v>
      </c>
      <c r="J2" s="3" t="s">
        <v>16</v>
      </c>
      <c r="K2" t="s">
        <v>18</v>
      </c>
    </row>
    <row r="3" spans="1:11" x14ac:dyDescent="0.35">
      <c r="A3" s="1">
        <v>46023</v>
      </c>
      <c r="B3" s="2" t="s">
        <v>5</v>
      </c>
      <c r="C3" s="2" t="s">
        <v>6</v>
      </c>
      <c r="D3" s="2">
        <v>200</v>
      </c>
      <c r="E3" s="2">
        <v>2</v>
      </c>
      <c r="F3">
        <f>D3*E3</f>
        <v>400</v>
      </c>
      <c r="J3" s="1">
        <v>46023</v>
      </c>
      <c r="K3" s="4">
        <v>200</v>
      </c>
    </row>
    <row r="4" spans="1:11" x14ac:dyDescent="0.35">
      <c r="A4" s="1">
        <v>46024</v>
      </c>
      <c r="B4" s="2" t="s">
        <v>7</v>
      </c>
      <c r="C4" s="2" t="s">
        <v>9</v>
      </c>
      <c r="D4" s="2">
        <v>150</v>
      </c>
      <c r="E4" s="2">
        <v>1</v>
      </c>
      <c r="F4">
        <f t="shared" ref="F4:F12" si="0">D4*E4</f>
        <v>150</v>
      </c>
      <c r="J4" s="1">
        <v>46024</v>
      </c>
      <c r="K4" s="4">
        <v>150</v>
      </c>
    </row>
    <row r="5" spans="1:11" x14ac:dyDescent="0.35">
      <c r="A5" s="1">
        <v>46025</v>
      </c>
      <c r="B5" s="2" t="s">
        <v>5</v>
      </c>
      <c r="C5" s="2" t="s">
        <v>6</v>
      </c>
      <c r="D5" s="2">
        <v>300</v>
      </c>
      <c r="E5" s="2">
        <v>3</v>
      </c>
      <c r="F5">
        <f t="shared" si="0"/>
        <v>900</v>
      </c>
      <c r="J5" s="1">
        <v>46025</v>
      </c>
      <c r="K5" s="4">
        <v>300</v>
      </c>
    </row>
    <row r="6" spans="1:11" x14ac:dyDescent="0.35">
      <c r="A6" s="1">
        <v>46026</v>
      </c>
      <c r="B6" s="2" t="s">
        <v>8</v>
      </c>
      <c r="C6" s="2" t="s">
        <v>6</v>
      </c>
      <c r="D6" s="2">
        <v>250</v>
      </c>
      <c r="E6" s="2">
        <v>2</v>
      </c>
      <c r="F6">
        <f t="shared" si="0"/>
        <v>500</v>
      </c>
      <c r="J6" s="1">
        <v>46026</v>
      </c>
      <c r="K6" s="4">
        <v>250</v>
      </c>
    </row>
    <row r="7" spans="1:11" x14ac:dyDescent="0.35">
      <c r="A7" s="1">
        <v>46027</v>
      </c>
      <c r="B7" s="2" t="s">
        <v>7</v>
      </c>
      <c r="C7" s="2" t="s">
        <v>9</v>
      </c>
      <c r="D7" s="2">
        <v>100</v>
      </c>
      <c r="E7" s="2">
        <v>1</v>
      </c>
      <c r="F7">
        <f t="shared" si="0"/>
        <v>100</v>
      </c>
      <c r="J7" s="1">
        <v>46027</v>
      </c>
      <c r="K7" s="4">
        <v>100</v>
      </c>
    </row>
    <row r="8" spans="1:11" x14ac:dyDescent="0.35">
      <c r="A8" s="1">
        <v>46028</v>
      </c>
      <c r="B8" s="2" t="s">
        <v>5</v>
      </c>
      <c r="C8" s="2" t="s">
        <v>10</v>
      </c>
      <c r="D8" s="2">
        <v>400</v>
      </c>
      <c r="E8" s="2">
        <v>4</v>
      </c>
      <c r="F8">
        <f t="shared" si="0"/>
        <v>1600</v>
      </c>
      <c r="J8" s="1">
        <v>46028</v>
      </c>
      <c r="K8" s="4">
        <v>400</v>
      </c>
    </row>
    <row r="9" spans="1:11" x14ac:dyDescent="0.35">
      <c r="A9" s="1">
        <v>46029</v>
      </c>
      <c r="B9" s="2" t="s">
        <v>8</v>
      </c>
      <c r="C9" s="2" t="s">
        <v>9</v>
      </c>
      <c r="D9" s="2">
        <v>180</v>
      </c>
      <c r="E9" s="2">
        <v>2</v>
      </c>
      <c r="F9">
        <f t="shared" si="0"/>
        <v>360</v>
      </c>
      <c r="J9" s="1">
        <v>46029</v>
      </c>
      <c r="K9" s="4">
        <v>180</v>
      </c>
    </row>
    <row r="10" spans="1:11" x14ac:dyDescent="0.35">
      <c r="A10" s="1">
        <v>46030</v>
      </c>
      <c r="B10" s="2" t="s">
        <v>5</v>
      </c>
      <c r="C10" s="2" t="s">
        <v>6</v>
      </c>
      <c r="D10" s="2">
        <v>220</v>
      </c>
      <c r="E10" s="2">
        <v>2</v>
      </c>
      <c r="F10">
        <f t="shared" si="0"/>
        <v>440</v>
      </c>
      <c r="J10" s="1">
        <v>46030</v>
      </c>
      <c r="K10" s="4">
        <v>220</v>
      </c>
    </row>
    <row r="11" spans="1:11" x14ac:dyDescent="0.35">
      <c r="A11" s="1">
        <v>46031</v>
      </c>
      <c r="B11" s="2" t="s">
        <v>7</v>
      </c>
      <c r="C11" s="2" t="s">
        <v>10</v>
      </c>
      <c r="D11" s="2">
        <v>130</v>
      </c>
      <c r="E11" s="2">
        <v>1</v>
      </c>
      <c r="F11">
        <f t="shared" si="0"/>
        <v>130</v>
      </c>
      <c r="J11" s="1">
        <v>46031</v>
      </c>
      <c r="K11" s="4">
        <v>130</v>
      </c>
    </row>
    <row r="12" spans="1:11" x14ac:dyDescent="0.35">
      <c r="A12" s="1">
        <v>46032</v>
      </c>
      <c r="B12" s="2" t="s">
        <v>8</v>
      </c>
      <c r="C12" s="2" t="s">
        <v>6</v>
      </c>
      <c r="D12" s="2">
        <v>270</v>
      </c>
      <c r="E12" s="2">
        <v>3</v>
      </c>
      <c r="F12">
        <f t="shared" si="0"/>
        <v>810</v>
      </c>
      <c r="J12" s="1">
        <v>46032</v>
      </c>
      <c r="K12" s="4">
        <v>270</v>
      </c>
    </row>
    <row r="13" spans="1:11" x14ac:dyDescent="0.35">
      <c r="J13" s="1" t="s">
        <v>17</v>
      </c>
      <c r="K13" s="4">
        <v>2200</v>
      </c>
    </row>
    <row r="15" spans="1:11" x14ac:dyDescent="0.35">
      <c r="H15" t="s">
        <v>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N47"/>
  <sheetViews>
    <sheetView tabSelected="1" workbookViewId="0">
      <selection activeCell="N7" sqref="N7"/>
    </sheetView>
  </sheetViews>
  <sheetFormatPr defaultRowHeight="14.5" x14ac:dyDescent="0.35"/>
  <sheetData>
    <row r="1" spans="5:14" ht="21" x14ac:dyDescent="0.5">
      <c r="I1" s="7" t="s">
        <v>26</v>
      </c>
      <c r="J1" s="7"/>
      <c r="K1" s="6"/>
      <c r="L1" s="6"/>
      <c r="M1" s="8"/>
    </row>
    <row r="2" spans="5:14" x14ac:dyDescent="0.35">
      <c r="G2" s="2"/>
      <c r="H2" s="2"/>
    </row>
    <row r="10" spans="5:14" ht="21" x14ac:dyDescent="0.5">
      <c r="E10" s="6" t="s">
        <v>19</v>
      </c>
      <c r="N10" s="6" t="s">
        <v>20</v>
      </c>
    </row>
    <row r="27" spans="4:13" x14ac:dyDescent="0.35">
      <c r="D27" t="s">
        <v>23</v>
      </c>
      <c r="M27" t="s">
        <v>24</v>
      </c>
    </row>
    <row r="31" spans="4:13" ht="21" x14ac:dyDescent="0.5">
      <c r="K31" s="6" t="s">
        <v>21</v>
      </c>
    </row>
    <row r="47" spans="9:9" x14ac:dyDescent="0.35">
      <c r="I47" t="s">
        <v>25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SALES 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2026-03-31T22:40:32Z</dcterms:created>
  <dcterms:modified xsi:type="dcterms:W3CDTF">2026-04-09T08:55:18Z</dcterms:modified>
</cp:coreProperties>
</file>